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콘텐츠로그" sheetId="2" state="visible" r:id="rId2"/>
    <sheet xmlns:r="http://schemas.openxmlformats.org/officeDocument/2006/relationships" name="판매로그" sheetId="3" state="visible" r:id="rId3"/>
    <sheet xmlns:r="http://schemas.openxmlformats.org/officeDocument/2006/relationships" name="일일요약" sheetId="4" state="visible" r:id="rId4"/>
    <sheet xmlns:r="http://schemas.openxmlformats.org/officeDocument/2006/relationships" name="캠페인_재활성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3B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사주도령 데일리 트래커 — 사용 안내</t>
        </is>
      </c>
      <c r="B1" t="inlineStr"/>
    </row>
    <row r="2">
      <c r="A2" t="inlineStr"/>
      <c r="B2" t="inlineStr"/>
    </row>
    <row r="3">
      <c r="A3" s="2" t="inlineStr">
        <is>
          <t>목적</t>
        </is>
      </c>
      <c r="B3" s="3" t="inlineStr">
        <is>
          <t>측정→교정 루프. 매일 콘텐츠로그·판매로그 입력 → 일일요약이 자동 집계.</t>
        </is>
      </c>
    </row>
    <row r="4">
      <c r="A4" s="2" t="inlineStr">
        <is>
          <t>핵심 KPI</t>
        </is>
      </c>
      <c r="B4" s="3" t="inlineStr">
        <is>
          <t>① 외부링크 클릭수(현재 기준선: IG 90일 66건) ② 문의→결제 전환율 ③ 일매출(목표 200,000)</t>
        </is>
      </c>
    </row>
    <row r="5">
      <c r="A5" s="2" t="inlineStr">
        <is>
          <t>재활성 귀속</t>
        </is>
      </c>
      <c r="B5" s="3" t="inlineStr">
        <is>
          <t>카카오 5일 캠페인 유입은 신청 시 '재오픈' 키워드로 구분 → 판매로그 first_keyword에 기록</t>
        </is>
      </c>
    </row>
    <row r="6">
      <c r="A6" s="2" t="inlineStr">
        <is>
          <t>시트</t>
        </is>
      </c>
      <c r="B6" s="3" t="inlineStr">
        <is>
          <t>콘텐츠로그 / 판매로그 / 일일요약 / 캠페인_재활성</t>
        </is>
      </c>
    </row>
    <row r="7">
      <c r="A7" s="2" t="inlineStr">
        <is>
          <t>개인정보</t>
        </is>
      </c>
      <c r="B7" s="3" t="inlineStr">
        <is>
          <t>판매로그 이름은 익명코드(예: K-001) 사용. 생년월일시 등 민감정보는 여기 적지 말 것.</t>
        </is>
      </c>
    </row>
    <row r="8">
      <c r="A8" s="2" t="inlineStr">
        <is>
          <t>가격</t>
        </is>
      </c>
      <c r="B8" s="3" t="inlineStr">
        <is>
          <t>입문 9,900 / 코어 29,000 / 프리미엄 59,000 (옵션 궁합 +20,000·당일 +5,000)</t>
        </is>
      </c>
    </row>
    <row r="9">
      <c r="A9" s="2" t="inlineStr">
        <is>
          <t>주의</t>
        </is>
      </c>
      <c r="B9" s="3" t="inlineStr">
        <is>
          <t>재생성 스크립트는 덮어쓰므로 데이터 입력 후엔 백업 후 실행.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4" customWidth="1" min="4" max="4"/>
    <col width="22" customWidth="1" min="5" max="5"/>
    <col width="18" customWidth="1" min="6" max="6"/>
    <col width="12" customWidth="1" min="7" max="7"/>
    <col width="12" customWidth="1" min="8" max="8"/>
    <col width="8" customWidth="1" min="9" max="9"/>
    <col width="9" customWidth="1" min="10" max="10"/>
    <col width="7" customWidth="1" min="11" max="11"/>
    <col width="7" customWidth="1" min="12" max="12"/>
    <col width="12" customWidth="1" min="13" max="13"/>
    <col width="13" customWidth="1" min="14" max="14"/>
    <col width="11" customWidth="1" min="15" max="15"/>
    <col width="11" customWidth="1" min="16" max="16"/>
    <col width="9" customWidth="1" min="17" max="17"/>
    <col width="9" customWidth="1" min="18" max="18"/>
    <col width="10" customWidth="1" min="19" max="19"/>
    <col width="12" customWidth="1" min="20" max="20"/>
    <col width="11" customWidth="1" min="21" max="21"/>
    <col width="8" customWidth="1" min="22" max="22"/>
    <col width="10" customWidth="1" min="23" max="23"/>
    <col width="26" customWidth="1" min="24" max="24"/>
  </cols>
  <sheetData>
    <row r="1">
      <c r="A1" s="4" t="inlineStr">
        <is>
          <t>date</t>
        </is>
      </c>
      <c r="B1" s="4" t="inlineStr">
        <is>
          <t>channel</t>
        </is>
      </c>
      <c r="C1" s="4" t="inlineStr">
        <is>
          <t>content_id</t>
        </is>
      </c>
      <c r="D1" s="4" t="inlineStr">
        <is>
          <t>hook_type</t>
        </is>
      </c>
      <c r="E1" s="4" t="inlineStr">
        <is>
          <t>url</t>
        </is>
      </c>
      <c r="F1" s="4" t="inlineStr">
        <is>
          <t>cta</t>
        </is>
      </c>
      <c r="G1" s="4" t="inlineStr">
        <is>
          <t>link_variant</t>
        </is>
      </c>
      <c r="H1" s="4" t="inlineStr">
        <is>
          <t>kakao_keyword</t>
        </is>
      </c>
      <c r="I1" s="4" t="inlineStr">
        <is>
          <t>views</t>
        </is>
      </c>
      <c r="J1" s="4" t="inlineStr">
        <is>
          <t>comments</t>
        </is>
      </c>
      <c r="K1" s="4" t="inlineStr">
        <is>
          <t>saves</t>
        </is>
      </c>
      <c r="L1" s="4" t="inlineStr">
        <is>
          <t>shares</t>
        </is>
      </c>
      <c r="M1" s="4" t="inlineStr">
        <is>
          <t>profile_clicks</t>
        </is>
      </c>
      <c r="N1" s="4" t="inlineStr">
        <is>
          <t>ext_link_clicks</t>
        </is>
      </c>
      <c r="O1" s="4" t="inlineStr">
        <is>
          <t>kakao_inflow</t>
        </is>
      </c>
      <c r="P1" s="4" t="inlineStr">
        <is>
          <t>menu_clicks</t>
        </is>
      </c>
      <c r="Q1" s="4" t="inlineStr">
        <is>
          <t>inquiries</t>
        </is>
      </c>
      <c r="R1" s="4" t="inlineStr">
        <is>
          <t>payments</t>
        </is>
      </c>
      <c r="S1" s="4" t="inlineStr">
        <is>
          <t>revenue</t>
        </is>
      </c>
      <c r="T1" s="4" t="inlineStr">
        <is>
          <t>offer</t>
        </is>
      </c>
      <c r="U1" s="4" t="inlineStr">
        <is>
          <t>pdf_delivered</t>
        </is>
      </c>
      <c r="V1" s="4" t="inlineStr">
        <is>
          <t>extra_q</t>
        </is>
      </c>
      <c r="W1" s="4" t="inlineStr">
        <is>
          <t>repurchase</t>
        </is>
      </c>
      <c r="X1" s="4" t="inlineStr">
        <is>
          <t>notes</t>
        </is>
      </c>
    </row>
    <row r="2"/>
  </sheetData>
  <dataValidations count="3">
    <dataValidation sqref="B2:B2000" showDropDown="0" showInputMessage="0" showErrorMessage="0" allowBlank="1" type="list">
      <formula1>"threads,instagram,kakao,youtube,tiktok"</formula1>
    </dataValidation>
    <dataValidation sqref="T2:T2000" showDropDown="0" showInputMessage="0" showErrorMessage="0" allowBlank="1" type="list">
      <formula1>"입문9900,코어29000,프리미엄59000,궁합옵션,-"</formula1>
    </dataValidation>
    <dataValidation sqref="U2:U2000 W2:W2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0" customWidth="1" min="4" max="4"/>
    <col width="14" customWidth="1" min="5" max="5"/>
    <col width="14" customWidth="1" min="6" max="6"/>
    <col width="13" customWidth="1" min="7" max="7"/>
    <col width="13" customWidth="1" min="8" max="8"/>
    <col width="9" customWidth="1" min="9" max="9"/>
    <col width="30" customWidth="1" min="10" max="10"/>
  </cols>
  <sheetData>
    <row r="1">
      <c r="A1" s="4" t="inlineStr">
        <is>
          <t>date</t>
        </is>
      </c>
      <c r="B1" s="4" t="inlineStr">
        <is>
          <t>익명코드</t>
        </is>
      </c>
      <c r="C1" s="4" t="inlineStr">
        <is>
          <t>offer</t>
        </is>
      </c>
      <c r="D1" s="4" t="inlineStr">
        <is>
          <t>price</t>
        </is>
      </c>
      <c r="E1" s="4" t="inlineStr">
        <is>
          <t>source_channel</t>
        </is>
      </c>
      <c r="F1" s="4" t="inlineStr">
        <is>
          <t>first_keyword</t>
        </is>
      </c>
      <c r="G1" s="4" t="inlineStr">
        <is>
          <t>payment_status</t>
        </is>
      </c>
      <c r="H1" s="4" t="inlineStr">
        <is>
          <t>delivery_status</t>
        </is>
      </c>
      <c r="I1" s="4" t="inlineStr">
        <is>
          <t>refund</t>
        </is>
      </c>
      <c r="J1" s="4" t="inlineStr">
        <is>
          <t>notes</t>
        </is>
      </c>
    </row>
    <row r="2"/>
  </sheetData>
  <dataValidations count="4">
    <dataValidation sqref="C2:C2000" showDropDown="0" showInputMessage="0" showErrorMessage="0" allowBlank="1" type="list">
      <formula1>"입문9900,코어29000,프리미엄59000,궁합옵션"</formula1>
    </dataValidation>
    <dataValidation sqref="E2:E2000" showDropDown="0" showInputMessage="0" showErrorMessage="0" allowBlank="1" type="list">
      <formula1>"threads,instagram,kakao_재오픈,kakao_기타,기타"</formula1>
    </dataValidation>
    <dataValidation sqref="G2:G2000" showDropDown="0" showInputMessage="0" showErrorMessage="0" allowBlank="1" type="list">
      <formula1>"대기,입금완료,취소,환불"</formula1>
    </dataValidation>
    <dataValidation sqref="H2:H2000" showDropDown="0" showInputMessage="0" showErrorMessage="0" allowBlank="1" type="list">
      <formula1>"대기,발송완료"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0" customWidth="1" min="5" max="5"/>
    <col width="14" customWidth="1" min="6" max="6"/>
    <col width="14" customWidth="1" min="7" max="7"/>
    <col width="10" customWidth="1" min="8" max="8"/>
    <col width="14" customWidth="1" min="9" max="9"/>
  </cols>
  <sheetData>
    <row r="1">
      <c r="A1" s="4" t="inlineStr">
        <is>
          <t>date</t>
        </is>
      </c>
      <c r="B1" s="4" t="inlineStr">
        <is>
          <t>total_views</t>
        </is>
      </c>
      <c r="C1" s="4" t="inlineStr">
        <is>
          <t>ext_link_clicks</t>
        </is>
      </c>
      <c r="D1" s="4" t="inlineStr">
        <is>
          <t>kakao_inflow</t>
        </is>
      </c>
      <c r="E1" s="4" t="inlineStr">
        <is>
          <t>inquiries</t>
        </is>
      </c>
      <c r="F1" s="4" t="inlineStr">
        <is>
          <t>결제건수(자동)</t>
        </is>
      </c>
      <c r="G1" s="4" t="inlineStr">
        <is>
          <t>매출(자동)</t>
        </is>
      </c>
      <c r="H1" s="4" t="inlineStr">
        <is>
          <t>목표</t>
        </is>
      </c>
      <c r="I1" s="4" t="inlineStr">
        <is>
          <t>갭(자동)</t>
        </is>
      </c>
    </row>
    <row r="2">
      <c r="F2">
        <f>COUNTIFS(판매로그!$A:$A,$A2,판매로그!$G:$G,"입금완료")</f>
        <v/>
      </c>
      <c r="G2">
        <f>SUMIFS(판매로그!$D:$D,판매로그!$A:$A,$A2,판매로그!$G:$G,"입금완료")</f>
        <v/>
      </c>
      <c r="H2" t="n">
        <v>200000</v>
      </c>
      <c r="I2">
        <f>H2-G2</f>
        <v/>
      </c>
    </row>
    <row r="3">
      <c r="F3">
        <f>COUNTIFS(판매로그!$A:$A,$A3,판매로그!$G:$G,"입금완료")</f>
        <v/>
      </c>
      <c r="G3">
        <f>SUMIFS(판매로그!$D:$D,판매로그!$A:$A,$A3,판매로그!$G:$G,"입금완료")</f>
        <v/>
      </c>
      <c r="H3" t="n">
        <v>200000</v>
      </c>
      <c r="I3">
        <f>H3-G3</f>
        <v/>
      </c>
    </row>
    <row r="4">
      <c r="F4">
        <f>COUNTIFS(판매로그!$A:$A,$A4,판매로그!$G:$G,"입금완료")</f>
        <v/>
      </c>
      <c r="G4">
        <f>SUMIFS(판매로그!$D:$D,판매로그!$A:$A,$A4,판매로그!$G:$G,"입금완료")</f>
        <v/>
      </c>
      <c r="H4" t="n">
        <v>200000</v>
      </c>
      <c r="I4">
        <f>H4-G4</f>
        <v/>
      </c>
    </row>
    <row r="5">
      <c r="F5">
        <f>COUNTIFS(판매로그!$A:$A,$A5,판매로그!$G:$G,"입금완료")</f>
        <v/>
      </c>
      <c r="G5">
        <f>SUMIFS(판매로그!$D:$D,판매로그!$A:$A,$A5,판매로그!$G:$G,"입금완료")</f>
        <v/>
      </c>
      <c r="H5" t="n">
        <v>200000</v>
      </c>
      <c r="I5">
        <f>H5-G5</f>
        <v/>
      </c>
    </row>
    <row r="6">
      <c r="F6">
        <f>COUNTIFS(판매로그!$A:$A,$A6,판매로그!$G:$G,"입금완료")</f>
        <v/>
      </c>
      <c r="G6">
        <f>SUMIFS(판매로그!$D:$D,판매로그!$A:$A,$A6,판매로그!$G:$G,"입금완료")</f>
        <v/>
      </c>
      <c r="H6" t="n">
        <v>200000</v>
      </c>
      <c r="I6">
        <f>H6-G6</f>
        <v/>
      </c>
    </row>
    <row r="7">
      <c r="F7">
        <f>COUNTIFS(판매로그!$A:$A,$A7,판매로그!$G:$G,"입금완료")</f>
        <v/>
      </c>
      <c r="G7">
        <f>SUMIFS(판매로그!$D:$D,판매로그!$A:$A,$A7,판매로그!$G:$G,"입금완료")</f>
        <v/>
      </c>
      <c r="H7" t="n">
        <v>200000</v>
      </c>
      <c r="I7">
        <f>H7-G7</f>
        <v/>
      </c>
    </row>
    <row r="8">
      <c r="F8">
        <f>COUNTIFS(판매로그!$A:$A,$A8,판매로그!$G:$G,"입금완료")</f>
        <v/>
      </c>
      <c r="G8">
        <f>SUMIFS(판매로그!$D:$D,판매로그!$A:$A,$A8,판매로그!$G:$G,"입금완료")</f>
        <v/>
      </c>
      <c r="H8" t="n">
        <v>200000</v>
      </c>
      <c r="I8">
        <f>H8-G8</f>
        <v/>
      </c>
    </row>
    <row r="9">
      <c r="F9">
        <f>COUNTIFS(판매로그!$A:$A,$A9,판매로그!$G:$G,"입금완료")</f>
        <v/>
      </c>
      <c r="G9">
        <f>SUMIFS(판매로그!$D:$D,판매로그!$A:$A,$A9,판매로그!$G:$G,"입금완료")</f>
        <v/>
      </c>
      <c r="H9" t="n">
        <v>200000</v>
      </c>
      <c r="I9">
        <f>H9-G9</f>
        <v/>
      </c>
    </row>
    <row r="10">
      <c r="F10">
        <f>COUNTIFS(판매로그!$A:$A,$A10,판매로그!$G:$G,"입금완료")</f>
        <v/>
      </c>
      <c r="G10">
        <f>SUMIFS(판매로그!$D:$D,판매로그!$A:$A,$A10,판매로그!$G:$G,"입금완료")</f>
        <v/>
      </c>
      <c r="H10" t="n">
        <v>200000</v>
      </c>
      <c r="I10">
        <f>H10-G10</f>
        <v/>
      </c>
    </row>
    <row r="11">
      <c r="F11">
        <f>COUNTIFS(판매로그!$A:$A,$A11,판매로그!$G:$G,"입금완료")</f>
        <v/>
      </c>
      <c r="G11">
        <f>SUMIFS(판매로그!$D:$D,판매로그!$A:$A,$A11,판매로그!$G:$G,"입금완료")</f>
        <v/>
      </c>
      <c r="H11" t="n">
        <v>200000</v>
      </c>
      <c r="I11">
        <f>H11-G11</f>
        <v/>
      </c>
    </row>
    <row r="12">
      <c r="F12">
        <f>COUNTIFS(판매로그!$A:$A,$A12,판매로그!$G:$G,"입금완료")</f>
        <v/>
      </c>
      <c r="G12">
        <f>SUMIFS(판매로그!$D:$D,판매로그!$A:$A,$A12,판매로그!$G:$G,"입금완료")</f>
        <v/>
      </c>
      <c r="H12" t="n">
        <v>200000</v>
      </c>
      <c r="I12">
        <f>H12-G12</f>
        <v/>
      </c>
    </row>
    <row r="13">
      <c r="F13">
        <f>COUNTIFS(판매로그!$A:$A,$A13,판매로그!$G:$G,"입금완료")</f>
        <v/>
      </c>
      <c r="G13">
        <f>SUMIFS(판매로그!$D:$D,판매로그!$A:$A,$A13,판매로그!$G:$G,"입금완료")</f>
        <v/>
      </c>
      <c r="H13" t="n">
        <v>200000</v>
      </c>
      <c r="I13">
        <f>H13-G13</f>
        <v/>
      </c>
    </row>
    <row r="14">
      <c r="F14">
        <f>COUNTIFS(판매로그!$A:$A,$A14,판매로그!$G:$G,"입금완료")</f>
        <v/>
      </c>
      <c r="G14">
        <f>SUMIFS(판매로그!$D:$D,판매로그!$A:$A,$A14,판매로그!$G:$G,"입금완료")</f>
        <v/>
      </c>
      <c r="H14" t="n">
        <v>200000</v>
      </c>
      <c r="I14">
        <f>H14-G14</f>
        <v/>
      </c>
    </row>
    <row r="15">
      <c r="F15">
        <f>COUNTIFS(판매로그!$A:$A,$A15,판매로그!$G:$G,"입금완료")</f>
        <v/>
      </c>
      <c r="G15">
        <f>SUMIFS(판매로그!$D:$D,판매로그!$A:$A,$A15,판매로그!$G:$G,"입금완료")</f>
        <v/>
      </c>
      <c r="H15" t="n">
        <v>200000</v>
      </c>
      <c r="I15">
        <f>H15-G15</f>
        <v/>
      </c>
    </row>
    <row r="16">
      <c r="F16">
        <f>COUNTIFS(판매로그!$A:$A,$A16,판매로그!$G:$G,"입금완료")</f>
        <v/>
      </c>
      <c r="G16">
        <f>SUMIFS(판매로그!$D:$D,판매로그!$A:$A,$A16,판매로그!$G:$G,"입금완료")</f>
        <v/>
      </c>
      <c r="H16" t="n">
        <v>200000</v>
      </c>
      <c r="I16">
        <f>H16-G16</f>
        <v/>
      </c>
    </row>
    <row r="17">
      <c r="F17">
        <f>COUNTIFS(판매로그!$A:$A,$A17,판매로그!$G:$G,"입금완료")</f>
        <v/>
      </c>
      <c r="G17">
        <f>SUMIFS(판매로그!$D:$D,판매로그!$A:$A,$A17,판매로그!$G:$G,"입금완료")</f>
        <v/>
      </c>
      <c r="H17" t="n">
        <v>200000</v>
      </c>
      <c r="I17">
        <f>H17-G17</f>
        <v/>
      </c>
    </row>
    <row r="18">
      <c r="F18">
        <f>COUNTIFS(판매로그!$A:$A,$A18,판매로그!$G:$G,"입금완료")</f>
        <v/>
      </c>
      <c r="G18">
        <f>SUMIFS(판매로그!$D:$D,판매로그!$A:$A,$A18,판매로그!$G:$G,"입금완료")</f>
        <v/>
      </c>
      <c r="H18" t="n">
        <v>200000</v>
      </c>
      <c r="I18">
        <f>H18-G18</f>
        <v/>
      </c>
    </row>
    <row r="19">
      <c r="F19">
        <f>COUNTIFS(판매로그!$A:$A,$A19,판매로그!$G:$G,"입금완료")</f>
        <v/>
      </c>
      <c r="G19">
        <f>SUMIFS(판매로그!$D:$D,판매로그!$A:$A,$A19,판매로그!$G:$G,"입금완료")</f>
        <v/>
      </c>
      <c r="H19" t="n">
        <v>200000</v>
      </c>
      <c r="I19">
        <f>H19-G19</f>
        <v/>
      </c>
    </row>
    <row r="20">
      <c r="F20">
        <f>COUNTIFS(판매로그!$A:$A,$A20,판매로그!$G:$G,"입금완료")</f>
        <v/>
      </c>
      <c r="G20">
        <f>SUMIFS(판매로그!$D:$D,판매로그!$A:$A,$A20,판매로그!$G:$G,"입금완료")</f>
        <v/>
      </c>
      <c r="H20" t="n">
        <v>200000</v>
      </c>
      <c r="I20">
        <f>H20-G20</f>
        <v/>
      </c>
    </row>
    <row r="21">
      <c r="F21">
        <f>COUNTIFS(판매로그!$A:$A,$A21,판매로그!$G:$G,"입금완료")</f>
        <v/>
      </c>
      <c r="G21">
        <f>SUMIFS(판매로그!$D:$D,판매로그!$A:$A,$A21,판매로그!$G:$G,"입금완료")</f>
        <v/>
      </c>
      <c r="H21" t="n">
        <v>200000</v>
      </c>
      <c r="I21">
        <f>H21-G21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2" customWidth="1" min="4" max="4"/>
    <col width="9" customWidth="1" min="5" max="5"/>
    <col width="9" customWidth="1" min="6" max="6"/>
    <col width="9" customWidth="1" min="7" max="7"/>
    <col width="12" customWidth="1" min="8" max="8"/>
    <col width="8" customWidth="1" min="9" max="9"/>
    <col width="10" customWidth="1" min="10" max="10"/>
    <col width="24" customWidth="1" min="11" max="11"/>
  </cols>
  <sheetData>
    <row r="1">
      <c r="A1" s="4" t="inlineStr">
        <is>
          <t>Day</t>
        </is>
      </c>
      <c r="B1" s="4" t="inlineStr">
        <is>
          <t>메시지</t>
        </is>
      </c>
      <c r="C1" s="4" t="inlineStr">
        <is>
          <t>형태</t>
        </is>
      </c>
      <c r="D1" s="4" t="inlineStr">
        <is>
          <t>발송시각</t>
        </is>
      </c>
      <c r="E1" s="4" t="inlineStr">
        <is>
          <t>비용</t>
        </is>
      </c>
      <c r="F1" s="4" t="inlineStr">
        <is>
          <t>도달</t>
        </is>
      </c>
      <c r="G1" s="4" t="inlineStr">
        <is>
          <t>클릭</t>
        </is>
      </c>
      <c r="H1" s="4" t="inlineStr">
        <is>
          <t>문의(재오픈)</t>
        </is>
      </c>
      <c r="I1" s="4" t="inlineStr">
        <is>
          <t>결제</t>
        </is>
      </c>
      <c r="J1" s="4" t="inlineStr">
        <is>
          <t>매출</t>
        </is>
      </c>
      <c r="K1" s="4" t="inlineStr">
        <is>
          <t>notes</t>
        </is>
      </c>
    </row>
    <row r="2"/>
    <row r="3">
      <c r="A3" t="inlineStr">
        <is>
          <t>D1</t>
        </is>
      </c>
      <c r="B3" t="inlineStr">
        <is>
          <t>M1 가치+재오픈 예고</t>
        </is>
      </c>
      <c r="C3" t="inlineStr">
        <is>
          <t>유료 채널메시지</t>
        </is>
      </c>
      <c r="D3" t="inlineStr"/>
      <c r="E3" t="n">
        <v>70000</v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D2</t>
        </is>
      </c>
      <c r="B4" t="inlineStr">
        <is>
          <t>M2 스토리/오픈루프</t>
        </is>
      </c>
      <c r="C4" t="inlineStr">
        <is>
          <t>무료 소식</t>
        </is>
      </c>
      <c r="D4" t="inlineStr"/>
      <c r="E4" t="n">
        <v>0</v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D3</t>
        </is>
      </c>
      <c r="B5" t="inlineStr">
        <is>
          <t>M3 오퍼 공개(핵심)</t>
        </is>
      </c>
      <c r="C5" t="inlineStr">
        <is>
          <t>유료 채널메시지</t>
        </is>
      </c>
      <c r="D5" t="inlineStr"/>
      <c r="E5" t="n">
        <v>70000</v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D4</t>
        </is>
      </c>
      <c r="B6" t="inlineStr">
        <is>
          <t>M4 히든베니핏+후기</t>
        </is>
      </c>
      <c r="C6" t="inlineStr">
        <is>
          <t>무료 소식</t>
        </is>
      </c>
      <c r="D6" t="inlineStr"/>
      <c r="E6" t="n">
        <v>0</v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D5</t>
        </is>
      </c>
      <c r="B7" t="inlineStr">
        <is>
          <t>M5 마감 D-day</t>
        </is>
      </c>
      <c r="C7" t="inlineStr">
        <is>
          <t>유료 채널메시지</t>
        </is>
      </c>
      <c r="D7" t="inlineStr"/>
      <c r="E7" t="n">
        <v>70000</v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합계</t>
        </is>
      </c>
      <c r="E8">
        <f>SUM(E2:E6)</f>
        <v/>
      </c>
      <c r="J8">
        <f>SUM(J2:J6)</f>
        <v/>
      </c>
    </row>
    <row r="9">
      <c r="A9" t="inlineStr">
        <is>
          <t>ROI</t>
        </is>
      </c>
      <c r="B9">
        <f>IF(E8=0,"",J8/E8)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2026-06-08T17:59:05Z</dcterms:created>
  <dcterms:modified xmlns:dcterms="http://purl.org/dc/terms/" xmlns:xsi="http://www.w3.org/2001/XMLSchema-instance" xsi:type="dcterms:W3CDTF">2026-06-08T17:59:05Z</dcterms:modified>
</cp:coreProperties>
</file>